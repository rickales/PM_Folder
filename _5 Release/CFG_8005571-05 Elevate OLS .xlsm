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AllenProjects\PM_Folder\_5 Release\"/>
    </mc:Choice>
  </mc:AlternateContent>
  <xr:revisionPtr revIDLastSave="0" documentId="13_ncr:1_{6F40AE36-46AF-4F10-82D4-EA3BBC094B50}" xr6:coauthVersionLast="47" xr6:coauthVersionMax="47" xr10:uidLastSave="{00000000-0000-0000-0000-000000000000}"/>
  <bookViews>
    <workbookView xWindow="1390" yWindow="1560" windowWidth="17330" windowHeight="9810" activeTab="1" xr2:uid="{8C095740-CB0E-46BE-929D-5B928C2EF1F3}"/>
  </bookViews>
  <sheets>
    <sheet name="Revision" sheetId="2" r:id="rId1"/>
    <sheet name="8005571-05 Elevate OLS " sheetId="1" r:id="rId2"/>
  </sheets>
  <definedNames>
    <definedName name="_xlpm.I" hidden="1" xlm="1">#NAME?</definedName>
    <definedName name="_xlpm.rLevel" hidden="1" xlm="1">#NAME?</definedName>
    <definedName name="_xlpm.rRes" hidden="1" xlm="1">#NAME?</definedName>
    <definedName name="_xlpm.TransitionR" hidden="1" xlm="1">#NAME?</definedName>
    <definedName name="_xlpm.xMax" hidden="1" xlm="1">#NAME?</definedName>
    <definedName name="_xlpm.xMin" hidden="1" xlm="1">#NAME?</definedName>
    <definedName name="dAD">#REF!</definedName>
    <definedName name="dAF">#REF!</definedName>
    <definedName name="dBD">#REF!</definedName>
    <definedName name="dBF">#REF!</definedName>
    <definedName name="DrainMax">#REF!</definedName>
    <definedName name="DrainMin">#REF!</definedName>
    <definedName name="FillMax">#REF!</definedName>
    <definedName name="FillMin">#REF!</definedName>
    <definedName name="GetRange">_xlfn.LAMBDA(_xlpm.xMin,_xlpm.xMax,OFFSET(#REF!,_xlpm.xMin,0,_xlpm.xMax,1))</definedName>
    <definedName name="GetXition">_xlfn.LAMBDA(_xlpm.rLevel,_xlpm.rRes,_xlpm.TransitionR,INDEX(_xlpm.rLevel,MATCH(MIN(ABS(_xlpm.rRes-_xlpm.TransitionR)),ABS(_xlpm.rRes-_xlpm.TransitionR),0)))</definedName>
    <definedName name="GetXitionIndex">_xlfn.LAMBDA(_xlpm.rLevel,_xlpm.rRes,_xlpm.TransitionR,MATCH(MIN(ABS(_xlpm.rRes-_xlpm.TransitionR)),ABS(_xlpm.rRes-_xlpm.TransitionR),0))</definedName>
    <definedName name="GrandSum">_xlfn.LAMBDA(_xlpm.I,SUM(dAF+_xlpm.I)+SUM(dAD+_xlpm.I)+SUM(dBF+_xlpm.I)+SUM(dBD+_xlpm.I))</definedName>
    <definedName name="rChArDrain">OFFSET(#REF!,DrainMin,0,DrainMax,1)</definedName>
    <definedName name="rChArFill">OFFSET(#REF!,FillMin,0,FillMax,1)</definedName>
    <definedName name="rChBrDrain">OFFSET(#REF!,DrainMin,0,DrainMax,1)</definedName>
    <definedName name="rChBrFill">OFFSET(#REF!,FillMin,0,FillMax,1)</definedName>
    <definedName name="rFill">OFFSET(#REF!,,,#REF!,1)</definedName>
    <definedName name="rLevelDrain">OFFSET(#REF!,DrainMin,0,DrainMax,1)</definedName>
    <definedName name="rLevelFill">OFFSET(#REF!,FillMin,0,FillMax,1)</definedName>
    <definedName name="rTime">OFFSET(#REF!,,,#REF!,1)</definedName>
    <definedName name="TimeHead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 l="1"/>
  <c r="J4" i="1" l="1"/>
  <c r="I4" i="1"/>
  <c r="D4" i="1"/>
  <c r="C4" i="1"/>
  <c r="J16" i="1"/>
  <c r="I16" i="1"/>
  <c r="D16" i="1"/>
  <c r="C16" i="1"/>
  <c r="L16" i="1"/>
  <c r="M16" i="1"/>
  <c r="N16" i="1"/>
  <c r="K16" i="1"/>
  <c r="F16" i="1"/>
  <c r="G16" i="1"/>
  <c r="H16" i="1"/>
  <c r="E16" i="1"/>
  <c r="L4" i="1"/>
  <c r="M4" i="1"/>
  <c r="N4" i="1"/>
  <c r="K4" i="1"/>
  <c r="F4" i="1"/>
  <c r="G4" i="1"/>
  <c r="H4" i="1"/>
  <c r="E4" i="1"/>
  <c r="B1" i="1" l="1"/>
  <c r="D1" i="1"/>
</calcChain>
</file>

<file path=xl/sharedStrings.xml><?xml version="1.0" encoding="utf-8"?>
<sst xmlns="http://schemas.openxmlformats.org/spreadsheetml/2006/main" count="91" uniqueCount="88">
  <si>
    <t>Columns from colC</t>
  </si>
  <si>
    <t>Rows From row3</t>
  </si>
  <si>
    <t>ATP Test Spec</t>
  </si>
  <si>
    <t>Relative Root Name</t>
  </si>
  <si>
    <t>_OLS_Main_Q02</t>
  </si>
  <si>
    <t>Aohm Lo</t>
  </si>
  <si>
    <t>Aohm Hi</t>
  </si>
  <si>
    <t>A Fill Hi</t>
  </si>
  <si>
    <t>A Fill Lo</t>
  </si>
  <si>
    <t>A Drain Hi</t>
  </si>
  <si>
    <t>A Drain Lo</t>
  </si>
  <si>
    <t>Bohm Lo</t>
  </si>
  <si>
    <t>Bohm Hi</t>
  </si>
  <si>
    <t>B Fill Hi</t>
  </si>
  <si>
    <t>B Fill Lo</t>
  </si>
  <si>
    <t>B Drain Hi</t>
  </si>
  <si>
    <t>B Drain Lo</t>
  </si>
  <si>
    <t>Test Type</t>
  </si>
  <si>
    <t>OLS001</t>
  </si>
  <si>
    <t>Step levels</t>
  </si>
  <si>
    <t>Resistor Tolerence</t>
  </si>
  <si>
    <t>Sample Rate</t>
  </si>
  <si>
    <t>Resistor</t>
  </si>
  <si>
    <t>Wait time</t>
  </si>
  <si>
    <t>Sim Fill Rate</t>
  </si>
  <si>
    <t>Empty Level</t>
  </si>
  <si>
    <t>Full Level</t>
  </si>
  <si>
    <t>RNG_Slow</t>
  </si>
  <si>
    <t>RNG_Creep</t>
  </si>
  <si>
    <t>RNG_Stop</t>
  </si>
  <si>
    <t>Laser Slope</t>
  </si>
  <si>
    <t>Laser_Offset</t>
  </si>
  <si>
    <t>Level Cal Technician</t>
  </si>
  <si>
    <t>Level Cal Date</t>
  </si>
  <si>
    <t>Pump Visa Name</t>
  </si>
  <si>
    <t>SPD_Fast</t>
  </si>
  <si>
    <t>SPD_Slow</t>
  </si>
  <si>
    <t>SPD_Creep</t>
  </si>
  <si>
    <t>DataQ Runtime Visa Name</t>
  </si>
  <si>
    <t>COM4</t>
  </si>
  <si>
    <t>Num of Channels</t>
  </si>
  <si>
    <t>AI0_Slope</t>
  </si>
  <si>
    <t>AI0_Offset</t>
  </si>
  <si>
    <t>AI1_Slope</t>
  </si>
  <si>
    <t>AI1_Offset</t>
  </si>
  <si>
    <t>AI2_Slope</t>
  </si>
  <si>
    <t>AI2_Offset</t>
  </si>
  <si>
    <t>AI3_Slope</t>
  </si>
  <si>
    <t>AI3_Offset</t>
  </si>
  <si>
    <t>AI4_Slope</t>
  </si>
  <si>
    <t>AI4_Offset</t>
  </si>
  <si>
    <t>AI5_Slope</t>
  </si>
  <si>
    <t>AI5_Offset</t>
  </si>
  <si>
    <t>AI6_Slope</t>
  </si>
  <si>
    <t>AI6_Offset</t>
  </si>
  <si>
    <t>AI7_Slope</t>
  </si>
  <si>
    <t>AI7_Offset</t>
  </si>
  <si>
    <t>Out Scale</t>
  </si>
  <si>
    <t>Resist I-source</t>
  </si>
  <si>
    <t>Dataq Cal Technician</t>
  </si>
  <si>
    <t>Voltage</t>
  </si>
  <si>
    <t>Dataq Cal Date</t>
  </si>
  <si>
    <t>Resist Divider</t>
  </si>
  <si>
    <t>Report Template File</t>
  </si>
  <si>
    <t>Use Default Calibration?</t>
  </si>
  <si>
    <t>RAA</t>
  </si>
  <si>
    <t>Rev2</t>
  </si>
  <si>
    <t>Rev 1 Used for development with Elevate OLS
1.  Changed from CSV to Excel XLSX file 
2.  Added Version Link to Runtime check
3.  Added Tool tip comments and Revison Sheet
4.  Reorginized by Category</t>
  </si>
  <si>
    <t>Calibration File</t>
  </si>
  <si>
    <t>LabVIEW Version</t>
  </si>
  <si>
    <t>&lt;--</t>
  </si>
  <si>
    <t>Out Scale Validate List</t>
  </si>
  <si>
    <t>Revison Hisory</t>
  </si>
  <si>
    <t>NOTES:</t>
  </si>
  <si>
    <t>TP Target Margin</t>
  </si>
  <si>
    <t>1.  This is a controlled document per AAP procedure ????  
2.  This if the file to be edited and contains formulas that are indicated in by Light Blue Cells.
3.  Before closing a macro will copy this file and saved as a csv file for use by the LabVIEW program that should be overwritten if it exists.</t>
  </si>
  <si>
    <t>Rev3</t>
  </si>
  <si>
    <t>Created XLMX macro enabled file to enable tool tips because CSV does not support tool tips (aka Validation Input Message) or formulas while LabVIEW does not support XLxx files and added macro to create a CSV copy when this workbook is closed.
The procedure should be :
1.  Updat values in the XLMX workbook using the enabled tool tips and formulas.
2.  Save as both XLMX and a CSV file for use the the MLOI test program (automated by macro on close of his workbook.)
3.  Release both XLMX and CSV files to doc control vault.</t>
  </si>
  <si>
    <t>SPD_Fast_PrePot</t>
  </si>
  <si>
    <t>WAIT_In_Idle</t>
  </si>
  <si>
    <t>Target Float Offset</t>
  </si>
  <si>
    <t>Gage R&amp;R</t>
  </si>
  <si>
    <t>COM5</t>
  </si>
  <si>
    <t>$MLOI_CalRecord.xlsx</t>
  </si>
  <si>
    <t>Level Zero Gage</t>
  </si>
  <si>
    <t>Maintenance_Code</t>
  </si>
  <si>
    <t>RPT_Template_071.xlsx</t>
  </si>
  <si>
    <t>0.10.6.21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</si>
</sst>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u/>
      <sz val="11"/>
      <color theme="1"/>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auto="1"/>
      </right>
      <top style="thin">
        <color indexed="64"/>
      </top>
      <bottom style="thin">
        <color indexed="64"/>
      </bottom>
      <diagonal/>
    </border>
    <border>
      <left/>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0" fontId="0" fillId="0" borderId="10" xfId="0" applyBorder="1" applyAlignment="1">
      <alignment vertical="center"/>
    </xf>
    <xf numFmtId="14" fontId="0" fillId="0" borderId="10" xfId="0" applyNumberFormat="1" applyBorder="1" applyAlignment="1">
      <alignment vertical="center"/>
    </xf>
    <xf numFmtId="0" fontId="0" fillId="0" borderId="10" xfId="0" applyBorder="1" applyAlignment="1">
      <alignment vertical="center" wrapText="1"/>
    </xf>
    <xf numFmtId="0" fontId="0" fillId="33" borderId="0" xfId="0" applyFill="1"/>
    <xf numFmtId="0" fontId="0" fillId="0" borderId="0" xfId="0" applyAlignment="1">
      <alignment horizontal="right"/>
    </xf>
    <xf numFmtId="0" fontId="16" fillId="0" borderId="11" xfId="0" applyFont="1" applyBorder="1"/>
    <xf numFmtId="0" fontId="16" fillId="0" borderId="10" xfId="0" applyFont="1" applyBorder="1" applyAlignment="1">
      <alignment vertical="center"/>
    </xf>
    <xf numFmtId="0" fontId="0" fillId="0" borderId="11" xfId="0" applyBorder="1"/>
    <xf numFmtId="0" fontId="18" fillId="0" borderId="11" xfId="0" applyFont="1" applyBorder="1"/>
    <xf numFmtId="0" fontId="0" fillId="33" borderId="0" xfId="0" applyFill="1" applyAlignment="1">
      <alignment horizontal="right"/>
    </xf>
    <xf numFmtId="0" fontId="0" fillId="0" borderId="11" xfId="0" applyBorder="1" applyAlignment="1">
      <alignment horizontal="right"/>
    </xf>
    <xf numFmtId="14" fontId="0" fillId="0" borderId="11" xfId="0" applyNumberFormat="1" applyBorder="1" applyAlignment="1">
      <alignment horizontal="right"/>
    </xf>
    <xf numFmtId="0" fontId="0" fillId="0" borderId="0" xfId="0" applyAlignment="1">
      <alignment horizontal="left"/>
    </xf>
    <xf numFmtId="164" fontId="0" fillId="0" borderId="0" xfId="0" applyNumberFormat="1" applyAlignment="1">
      <alignment horizontal="righ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58B0-4203-43D1-A5F2-CC4EF2D13961}">
  <sheetPr codeName="Sheet1"/>
  <dimension ref="A1:D7"/>
  <sheetViews>
    <sheetView topLeftCell="A4" workbookViewId="0">
      <selection activeCell="B5" sqref="B5"/>
    </sheetView>
  </sheetViews>
  <sheetFormatPr defaultRowHeight="14.5" x14ac:dyDescent="0.35"/>
  <cols>
    <col min="1" max="1" width="9.1796875" style="1"/>
    <col min="2" max="2" width="87.453125" style="1" customWidth="1"/>
    <col min="3" max="3" width="9.453125" style="2" bestFit="1" customWidth="1"/>
    <col min="4" max="4" width="9.1796875" style="1"/>
  </cols>
  <sheetData>
    <row r="1" spans="1:4" ht="40.5" customHeight="1" x14ac:dyDescent="0.35">
      <c r="A1" s="1" t="s">
        <v>73</v>
      </c>
      <c r="B1" s="3" t="s">
        <v>75</v>
      </c>
    </row>
    <row r="3" spans="1:4" x14ac:dyDescent="0.35">
      <c r="B3" s="7" t="s">
        <v>72</v>
      </c>
    </row>
    <row r="4" spans="1:4" ht="72.5" x14ac:dyDescent="0.35">
      <c r="A4" s="1" t="s">
        <v>66</v>
      </c>
      <c r="B4" s="3" t="s">
        <v>67</v>
      </c>
      <c r="C4" s="2">
        <v>45923</v>
      </c>
      <c r="D4" s="1" t="s">
        <v>65</v>
      </c>
    </row>
    <row r="5" spans="1:4" ht="116" x14ac:dyDescent="0.35">
      <c r="A5" s="1" t="s">
        <v>76</v>
      </c>
      <c r="B5" s="3" t="s">
        <v>77</v>
      </c>
      <c r="C5" s="2">
        <v>46288</v>
      </c>
      <c r="D5" s="1" t="s">
        <v>65</v>
      </c>
    </row>
    <row r="6" spans="1:4" x14ac:dyDescent="0.35">
      <c r="B6" s="3"/>
    </row>
    <row r="7" spans="1:4" x14ac:dyDescent="0.35">
      <c r="B7"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72DF6-1810-4BC8-A314-11408D58D54E}">
  <sheetPr codeName="Sheet2"/>
  <dimension ref="A1:N54"/>
  <sheetViews>
    <sheetView tabSelected="1" topLeftCell="A41" workbookViewId="0">
      <selection activeCell="B50" sqref="B50"/>
    </sheetView>
  </sheetViews>
  <sheetFormatPr defaultRowHeight="14.5" x14ac:dyDescent="0.35"/>
  <cols>
    <col min="1" max="1" width="23.81640625" customWidth="1"/>
    <col min="2" max="2" width="14.26953125" style="5" customWidth="1"/>
    <col min="5" max="5" width="10.1796875" customWidth="1"/>
  </cols>
  <sheetData>
    <row r="1" spans="1:14" x14ac:dyDescent="0.35">
      <c r="A1" t="s">
        <v>0</v>
      </c>
      <c r="B1" s="10">
        <f>COUNTA(C4:Z4)</f>
        <v>12</v>
      </c>
      <c r="C1" t="s">
        <v>1</v>
      </c>
      <c r="D1" s="4">
        <f>COUNTA(C4:C99)</f>
        <v>13</v>
      </c>
    </row>
    <row r="2" spans="1:14" x14ac:dyDescent="0.35">
      <c r="A2" t="s">
        <v>2</v>
      </c>
      <c r="C2">
        <v>0</v>
      </c>
      <c r="D2">
        <v>1</v>
      </c>
      <c r="E2">
        <v>2</v>
      </c>
      <c r="F2">
        <v>3</v>
      </c>
      <c r="G2">
        <v>4</v>
      </c>
      <c r="H2">
        <v>5</v>
      </c>
      <c r="I2">
        <v>6</v>
      </c>
      <c r="J2">
        <v>7</v>
      </c>
      <c r="K2">
        <v>8</v>
      </c>
      <c r="L2">
        <v>9</v>
      </c>
      <c r="M2">
        <v>10</v>
      </c>
      <c r="N2">
        <v>11</v>
      </c>
    </row>
    <row r="3" spans="1:14" x14ac:dyDescent="0.35">
      <c r="A3" t="s">
        <v>3</v>
      </c>
      <c r="B3" s="5" t="s">
        <v>4</v>
      </c>
      <c r="C3" t="s">
        <v>5</v>
      </c>
      <c r="D3" t="s">
        <v>6</v>
      </c>
      <c r="E3" t="s">
        <v>7</v>
      </c>
      <c r="F3" t="s">
        <v>8</v>
      </c>
      <c r="G3" t="s">
        <v>9</v>
      </c>
      <c r="H3" t="s">
        <v>10</v>
      </c>
      <c r="I3" t="s">
        <v>11</v>
      </c>
      <c r="J3" t="s">
        <v>12</v>
      </c>
      <c r="K3" t="s">
        <v>13</v>
      </c>
      <c r="L3" t="s">
        <v>14</v>
      </c>
      <c r="M3" t="s">
        <v>15</v>
      </c>
      <c r="N3" t="s">
        <v>16</v>
      </c>
    </row>
    <row r="4" spans="1:14" x14ac:dyDescent="0.35">
      <c r="A4" t="s">
        <v>17</v>
      </c>
      <c r="B4" s="5" t="s">
        <v>18</v>
      </c>
      <c r="C4" s="4">
        <f>C5</f>
        <v>98</v>
      </c>
      <c r="D4" s="4">
        <f>D5</f>
        <v>102</v>
      </c>
      <c r="E4" s="4">
        <f>$B$11</f>
        <v>8.4</v>
      </c>
      <c r="F4" s="4">
        <f t="shared" ref="F4:H4" si="0">$B$11</f>
        <v>8.4</v>
      </c>
      <c r="G4" s="4">
        <f t="shared" si="0"/>
        <v>8.4</v>
      </c>
      <c r="H4" s="4">
        <f t="shared" si="0"/>
        <v>8.4</v>
      </c>
      <c r="I4" s="4">
        <f>I5</f>
        <v>98</v>
      </c>
      <c r="J4" s="4">
        <f>J5</f>
        <v>102</v>
      </c>
      <c r="K4" s="4">
        <f>$B$11</f>
        <v>8.4</v>
      </c>
      <c r="L4" s="4">
        <f t="shared" ref="L4:N4" si="1">$B$11</f>
        <v>8.4</v>
      </c>
      <c r="M4" s="4">
        <f t="shared" si="1"/>
        <v>8.4</v>
      </c>
      <c r="N4" s="4">
        <f t="shared" si="1"/>
        <v>8.4</v>
      </c>
    </row>
    <row r="5" spans="1:14" x14ac:dyDescent="0.35">
      <c r="A5" t="s">
        <v>19</v>
      </c>
      <c r="B5" s="10">
        <f>D1-2</f>
        <v>11</v>
      </c>
      <c r="C5">
        <v>98</v>
      </c>
      <c r="D5">
        <v>102</v>
      </c>
      <c r="E5">
        <v>7.91</v>
      </c>
      <c r="F5">
        <v>8.01</v>
      </c>
      <c r="G5">
        <v>7.55</v>
      </c>
      <c r="H5">
        <v>7.65</v>
      </c>
      <c r="I5">
        <v>98</v>
      </c>
      <c r="J5">
        <v>102</v>
      </c>
      <c r="K5">
        <v>7.6849999999999996</v>
      </c>
      <c r="L5">
        <v>7.7850000000000001</v>
      </c>
      <c r="M5">
        <v>7.3250000000000002</v>
      </c>
      <c r="N5">
        <v>7.4249999999999998</v>
      </c>
    </row>
    <row r="6" spans="1:14" x14ac:dyDescent="0.35">
      <c r="A6" t="s">
        <v>20</v>
      </c>
      <c r="B6" s="5">
        <v>0.01</v>
      </c>
      <c r="C6">
        <v>197</v>
      </c>
      <c r="D6">
        <v>203</v>
      </c>
      <c r="E6">
        <v>7.46</v>
      </c>
      <c r="F6">
        <v>7.56</v>
      </c>
      <c r="G6">
        <v>7.1</v>
      </c>
      <c r="H6">
        <v>7.2</v>
      </c>
      <c r="I6">
        <v>197</v>
      </c>
      <c r="J6">
        <v>203</v>
      </c>
      <c r="K6">
        <v>7.2350000000000003</v>
      </c>
      <c r="L6">
        <v>7.335</v>
      </c>
      <c r="M6">
        <v>6.875</v>
      </c>
      <c r="N6">
        <v>6.9749999999999996</v>
      </c>
    </row>
    <row r="7" spans="1:14" x14ac:dyDescent="0.35">
      <c r="A7" t="s">
        <v>21</v>
      </c>
      <c r="B7" s="5">
        <v>0.05</v>
      </c>
      <c r="C7">
        <v>296</v>
      </c>
      <c r="D7">
        <v>304</v>
      </c>
      <c r="E7">
        <v>7.01</v>
      </c>
      <c r="F7">
        <v>7.11</v>
      </c>
      <c r="G7">
        <v>6.65</v>
      </c>
      <c r="H7">
        <v>6.75</v>
      </c>
      <c r="I7">
        <v>296</v>
      </c>
      <c r="J7">
        <v>304</v>
      </c>
      <c r="K7">
        <v>6.7850000000000001</v>
      </c>
      <c r="L7">
        <v>6.8849999999999998</v>
      </c>
      <c r="M7">
        <v>6.4249999999999998</v>
      </c>
      <c r="N7">
        <v>6.5250000000000004</v>
      </c>
    </row>
    <row r="8" spans="1:14" x14ac:dyDescent="0.35">
      <c r="A8" t="s">
        <v>22</v>
      </c>
      <c r="B8" s="5">
        <v>100</v>
      </c>
      <c r="C8">
        <v>395</v>
      </c>
      <c r="D8">
        <v>405</v>
      </c>
      <c r="E8">
        <v>6.56</v>
      </c>
      <c r="F8">
        <v>6.66</v>
      </c>
      <c r="G8">
        <v>6.2</v>
      </c>
      <c r="H8">
        <v>6.3</v>
      </c>
      <c r="I8">
        <v>395</v>
      </c>
      <c r="J8">
        <v>405</v>
      </c>
      <c r="K8">
        <v>6.335</v>
      </c>
      <c r="L8">
        <v>6.4349999999999996</v>
      </c>
      <c r="M8">
        <v>5.9749999999999996</v>
      </c>
      <c r="N8">
        <v>6.0750000000000002</v>
      </c>
    </row>
    <row r="9" spans="1:14" x14ac:dyDescent="0.35">
      <c r="A9" t="s">
        <v>23</v>
      </c>
      <c r="B9" s="5">
        <v>3</v>
      </c>
      <c r="C9">
        <v>494</v>
      </c>
      <c r="D9">
        <v>506</v>
      </c>
      <c r="E9">
        <v>6.11</v>
      </c>
      <c r="F9">
        <v>6.21</v>
      </c>
      <c r="G9">
        <v>5.75</v>
      </c>
      <c r="H9">
        <v>5.85</v>
      </c>
      <c r="I9">
        <v>494</v>
      </c>
      <c r="J9">
        <v>506</v>
      </c>
      <c r="K9">
        <v>5.8849999999999998</v>
      </c>
      <c r="L9">
        <v>5.9850000000000003</v>
      </c>
      <c r="M9">
        <v>5.5250000000000004</v>
      </c>
      <c r="N9">
        <v>5.625</v>
      </c>
    </row>
    <row r="10" spans="1:14" x14ac:dyDescent="0.35">
      <c r="A10" t="s">
        <v>24</v>
      </c>
      <c r="B10" s="5">
        <v>7000</v>
      </c>
      <c r="C10">
        <v>593</v>
      </c>
      <c r="D10">
        <v>607</v>
      </c>
      <c r="E10">
        <v>5.66</v>
      </c>
      <c r="F10">
        <v>5.76</v>
      </c>
      <c r="G10">
        <v>5.3</v>
      </c>
      <c r="H10">
        <v>5.4</v>
      </c>
      <c r="I10">
        <v>593</v>
      </c>
      <c r="J10">
        <v>607</v>
      </c>
      <c r="K10">
        <v>5.4349999999999996</v>
      </c>
      <c r="L10">
        <v>5.5350000000000001</v>
      </c>
      <c r="M10">
        <v>5.0750000000000002</v>
      </c>
      <c r="N10">
        <v>5.1749999999999998</v>
      </c>
    </row>
    <row r="11" spans="1:14" x14ac:dyDescent="0.35">
      <c r="A11" t="s">
        <v>25</v>
      </c>
      <c r="B11" s="5">
        <v>8.4</v>
      </c>
      <c r="C11">
        <v>692</v>
      </c>
      <c r="D11">
        <v>708</v>
      </c>
      <c r="E11">
        <v>5.21</v>
      </c>
      <c r="F11">
        <v>5.31</v>
      </c>
      <c r="G11">
        <v>4.8499999999999996</v>
      </c>
      <c r="H11">
        <v>4.95</v>
      </c>
      <c r="I11">
        <v>692</v>
      </c>
      <c r="J11">
        <v>708</v>
      </c>
      <c r="K11">
        <v>4.9850000000000003</v>
      </c>
      <c r="L11">
        <v>5.085</v>
      </c>
      <c r="M11">
        <v>4.625</v>
      </c>
      <c r="N11">
        <v>4.7249999999999996</v>
      </c>
    </row>
    <row r="12" spans="1:14" x14ac:dyDescent="0.35">
      <c r="A12" s="8" t="s">
        <v>26</v>
      </c>
      <c r="B12" s="11">
        <v>2.6</v>
      </c>
      <c r="C12">
        <v>791</v>
      </c>
      <c r="D12">
        <v>809</v>
      </c>
      <c r="E12">
        <v>4.76</v>
      </c>
      <c r="F12">
        <v>4.8600000000000003</v>
      </c>
      <c r="G12">
        <v>4.4000000000000004</v>
      </c>
      <c r="H12">
        <v>4.5</v>
      </c>
      <c r="I12">
        <v>791</v>
      </c>
      <c r="J12">
        <v>809</v>
      </c>
      <c r="K12">
        <v>4.5350000000000001</v>
      </c>
      <c r="L12">
        <v>4.6349999999999998</v>
      </c>
      <c r="M12">
        <v>4.1749999999999998</v>
      </c>
      <c r="N12">
        <v>4.2750000000000004</v>
      </c>
    </row>
    <row r="13" spans="1:14" x14ac:dyDescent="0.35">
      <c r="A13" t="s">
        <v>30</v>
      </c>
      <c r="B13" s="5">
        <v>-0.99629999999999996</v>
      </c>
      <c r="C13">
        <v>890</v>
      </c>
      <c r="D13">
        <v>910</v>
      </c>
      <c r="E13">
        <v>4.3099999999999996</v>
      </c>
      <c r="F13">
        <v>4.41</v>
      </c>
      <c r="G13">
        <v>3.95</v>
      </c>
      <c r="H13">
        <v>4.05</v>
      </c>
      <c r="I13">
        <v>890</v>
      </c>
      <c r="J13">
        <v>910</v>
      </c>
      <c r="K13">
        <v>4.085</v>
      </c>
      <c r="L13">
        <v>4.1849999999999996</v>
      </c>
      <c r="M13">
        <v>3.7250000000000001</v>
      </c>
      <c r="N13">
        <v>3.8250000000000002</v>
      </c>
    </row>
    <row r="14" spans="1:14" x14ac:dyDescent="0.35">
      <c r="A14" t="s">
        <v>31</v>
      </c>
      <c r="B14" s="5">
        <v>9.5239999999999991</v>
      </c>
      <c r="C14">
        <v>989</v>
      </c>
      <c r="D14">
        <v>1011</v>
      </c>
      <c r="E14">
        <v>3.86</v>
      </c>
      <c r="F14">
        <v>3.96</v>
      </c>
      <c r="G14">
        <v>3.5</v>
      </c>
      <c r="H14">
        <v>3.6</v>
      </c>
      <c r="I14">
        <v>989</v>
      </c>
      <c r="J14">
        <v>1011</v>
      </c>
      <c r="K14">
        <v>3.6349999999999998</v>
      </c>
      <c r="L14">
        <v>3.7349999999999999</v>
      </c>
      <c r="M14">
        <v>3.2749999999999999</v>
      </c>
      <c r="N14">
        <v>3.375</v>
      </c>
    </row>
    <row r="15" spans="1:14" x14ac:dyDescent="0.35">
      <c r="A15" t="s">
        <v>32</v>
      </c>
      <c r="B15" s="5" t="s">
        <v>81</v>
      </c>
      <c r="C15">
        <v>1088</v>
      </c>
      <c r="D15">
        <v>1112</v>
      </c>
      <c r="E15">
        <v>3.41</v>
      </c>
      <c r="F15">
        <v>3.51</v>
      </c>
      <c r="G15">
        <v>3.05</v>
      </c>
      <c r="H15">
        <v>3.15</v>
      </c>
      <c r="I15">
        <v>1088</v>
      </c>
      <c r="J15">
        <v>1112</v>
      </c>
      <c r="K15">
        <v>3.1850000000000001</v>
      </c>
      <c r="L15">
        <v>3.2850000000000001</v>
      </c>
      <c r="M15">
        <v>2.8250000000000002</v>
      </c>
      <c r="N15">
        <v>2.9249999999999998</v>
      </c>
    </row>
    <row r="16" spans="1:14" x14ac:dyDescent="0.35">
      <c r="A16" s="8" t="s">
        <v>33</v>
      </c>
      <c r="B16" s="12">
        <v>46077</v>
      </c>
      <c r="C16" s="4">
        <f>C15</f>
        <v>1088</v>
      </c>
      <c r="D16" s="4">
        <f>D15</f>
        <v>1112</v>
      </c>
      <c r="E16" s="4">
        <f>$B$12</f>
        <v>2.6</v>
      </c>
      <c r="F16" s="4">
        <f t="shared" ref="F16:H16" si="2">$B$12</f>
        <v>2.6</v>
      </c>
      <c r="G16" s="4">
        <f t="shared" si="2"/>
        <v>2.6</v>
      </c>
      <c r="H16" s="4">
        <f t="shared" si="2"/>
        <v>2.6</v>
      </c>
      <c r="I16" s="4">
        <f>I15</f>
        <v>1088</v>
      </c>
      <c r="J16" s="4">
        <f>J15</f>
        <v>1112</v>
      </c>
      <c r="K16" s="4">
        <f>$B$12</f>
        <v>2.6</v>
      </c>
      <c r="L16" s="4">
        <f t="shared" ref="L16:N16" si="3">$B$12</f>
        <v>2.6</v>
      </c>
      <c r="M16" s="4">
        <f t="shared" si="3"/>
        <v>2.6</v>
      </c>
      <c r="N16" s="4">
        <f t="shared" si="3"/>
        <v>2.6</v>
      </c>
    </row>
    <row r="17" spans="1:2" x14ac:dyDescent="0.35">
      <c r="A17" t="s">
        <v>34</v>
      </c>
      <c r="B17" s="5" t="s">
        <v>82</v>
      </c>
    </row>
    <row r="18" spans="1:2" x14ac:dyDescent="0.35">
      <c r="A18" t="s">
        <v>27</v>
      </c>
      <c r="B18" s="5">
        <v>0.15</v>
      </c>
    </row>
    <row r="19" spans="1:2" x14ac:dyDescent="0.35">
      <c r="A19" t="s">
        <v>28</v>
      </c>
      <c r="B19" s="5">
        <v>7.0000000000000001E-3</v>
      </c>
    </row>
    <row r="20" spans="1:2" x14ac:dyDescent="0.35">
      <c r="A20" t="s">
        <v>29</v>
      </c>
      <c r="B20" s="5">
        <v>3.0000000000000001E-3</v>
      </c>
    </row>
    <row r="21" spans="1:2" x14ac:dyDescent="0.35">
      <c r="A21" t="s">
        <v>35</v>
      </c>
      <c r="B21" s="5">
        <v>100</v>
      </c>
    </row>
    <row r="22" spans="1:2" x14ac:dyDescent="0.35">
      <c r="A22" t="s">
        <v>36</v>
      </c>
      <c r="B22" s="5">
        <v>30</v>
      </c>
    </row>
    <row r="23" spans="1:2" x14ac:dyDescent="0.35">
      <c r="A23" t="s">
        <v>37</v>
      </c>
      <c r="B23" s="5">
        <v>7</v>
      </c>
    </row>
    <row r="24" spans="1:2" x14ac:dyDescent="0.35">
      <c r="A24" s="8" t="s">
        <v>79</v>
      </c>
      <c r="B24" s="11">
        <v>3</v>
      </c>
    </row>
    <row r="25" spans="1:2" x14ac:dyDescent="0.35">
      <c r="A25" t="s">
        <v>38</v>
      </c>
      <c r="B25" s="5" t="s">
        <v>39</v>
      </c>
    </row>
    <row r="26" spans="1:2" x14ac:dyDescent="0.35">
      <c r="A26" t="s">
        <v>40</v>
      </c>
      <c r="B26" s="5">
        <v>2</v>
      </c>
    </row>
    <row r="27" spans="1:2" x14ac:dyDescent="0.35">
      <c r="A27" t="s">
        <v>41</v>
      </c>
      <c r="B27" s="5">
        <v>116.631</v>
      </c>
    </row>
    <row r="28" spans="1:2" x14ac:dyDescent="0.35">
      <c r="A28" t="s">
        <v>42</v>
      </c>
      <c r="B28" s="5">
        <v>-0.72899999999999998</v>
      </c>
    </row>
    <row r="29" spans="1:2" x14ac:dyDescent="0.35">
      <c r="A29" t="s">
        <v>43</v>
      </c>
      <c r="B29" s="5">
        <v>116.622</v>
      </c>
    </row>
    <row r="30" spans="1:2" x14ac:dyDescent="0.35">
      <c r="A30" t="s">
        <v>44</v>
      </c>
      <c r="B30" s="5">
        <v>-0.72099999999999997</v>
      </c>
    </row>
    <row r="31" spans="1:2" x14ac:dyDescent="0.35">
      <c r="A31" t="s">
        <v>45</v>
      </c>
      <c r="B31" s="5">
        <v>112</v>
      </c>
    </row>
    <row r="32" spans="1:2" x14ac:dyDescent="0.35">
      <c r="A32" t="s">
        <v>46</v>
      </c>
      <c r="B32" s="5">
        <v>-2.5</v>
      </c>
    </row>
    <row r="33" spans="1:5" x14ac:dyDescent="0.35">
      <c r="A33" t="s">
        <v>47</v>
      </c>
      <c r="B33" s="5">
        <v>112</v>
      </c>
    </row>
    <row r="34" spans="1:5" x14ac:dyDescent="0.35">
      <c r="A34" t="s">
        <v>48</v>
      </c>
      <c r="B34" s="5">
        <v>-2.5</v>
      </c>
    </row>
    <row r="35" spans="1:5" x14ac:dyDescent="0.35">
      <c r="A35" t="s">
        <v>49</v>
      </c>
      <c r="B35" s="5">
        <v>112</v>
      </c>
    </row>
    <row r="36" spans="1:5" x14ac:dyDescent="0.35">
      <c r="A36" t="s">
        <v>50</v>
      </c>
      <c r="B36" s="5">
        <v>-2.5</v>
      </c>
    </row>
    <row r="37" spans="1:5" x14ac:dyDescent="0.35">
      <c r="A37" t="s">
        <v>51</v>
      </c>
      <c r="B37" s="5">
        <v>112</v>
      </c>
    </row>
    <row r="38" spans="1:5" x14ac:dyDescent="0.35">
      <c r="A38" t="s">
        <v>52</v>
      </c>
      <c r="B38" s="5">
        <v>-2.5</v>
      </c>
    </row>
    <row r="39" spans="1:5" x14ac:dyDescent="0.35">
      <c r="A39" t="s">
        <v>53</v>
      </c>
      <c r="B39" s="5">
        <v>112</v>
      </c>
    </row>
    <row r="40" spans="1:5" x14ac:dyDescent="0.35">
      <c r="A40" t="s">
        <v>54</v>
      </c>
      <c r="B40" s="5">
        <v>-2.5</v>
      </c>
    </row>
    <row r="41" spans="1:5" x14ac:dyDescent="0.35">
      <c r="A41" t="s">
        <v>55</v>
      </c>
      <c r="B41" s="5">
        <v>112</v>
      </c>
    </row>
    <row r="42" spans="1:5" x14ac:dyDescent="0.35">
      <c r="A42" t="s">
        <v>56</v>
      </c>
      <c r="B42" s="5">
        <v>-2.5</v>
      </c>
    </row>
    <row r="43" spans="1:5" x14ac:dyDescent="0.35">
      <c r="A43" t="s">
        <v>57</v>
      </c>
      <c r="B43" s="5" t="s">
        <v>58</v>
      </c>
      <c r="D43" s="5" t="s">
        <v>70</v>
      </c>
      <c r="E43" s="6" t="s">
        <v>71</v>
      </c>
    </row>
    <row r="44" spans="1:5" x14ac:dyDescent="0.35">
      <c r="A44" t="s">
        <v>59</v>
      </c>
      <c r="B44" s="5" t="s">
        <v>81</v>
      </c>
      <c r="E44" t="s">
        <v>60</v>
      </c>
    </row>
    <row r="45" spans="1:5" x14ac:dyDescent="0.35">
      <c r="A45" s="9" t="s">
        <v>61</v>
      </c>
      <c r="B45" s="12">
        <v>46077</v>
      </c>
      <c r="E45" t="s">
        <v>62</v>
      </c>
    </row>
    <row r="46" spans="1:5" x14ac:dyDescent="0.35">
      <c r="A46" t="s">
        <v>68</v>
      </c>
      <c r="B46" s="13" t="s">
        <v>83</v>
      </c>
      <c r="E46" t="s">
        <v>58</v>
      </c>
    </row>
    <row r="47" spans="1:5" x14ac:dyDescent="0.35">
      <c r="A47" t="s">
        <v>63</v>
      </c>
      <c r="B47" s="5" t="s">
        <v>86</v>
      </c>
    </row>
    <row r="48" spans="1:5" x14ac:dyDescent="0.35">
      <c r="A48" t="s">
        <v>64</v>
      </c>
      <c r="B48" s="5" t="b">
        <v>1</v>
      </c>
    </row>
    <row r="49" spans="1:2" x14ac:dyDescent="0.35">
      <c r="A49" t="s">
        <v>74</v>
      </c>
      <c r="B49" s="5">
        <v>5.0000000000000001E-3</v>
      </c>
    </row>
    <row r="50" spans="1:2" x14ac:dyDescent="0.35">
      <c r="A50" t="s">
        <v>69</v>
      </c>
      <c r="B50" s="5" t="s">
        <v>87</v>
      </c>
    </row>
    <row r="51" spans="1:2" x14ac:dyDescent="0.35">
      <c r="A51" t="s">
        <v>78</v>
      </c>
      <c r="B51" s="5">
        <v>50</v>
      </c>
    </row>
    <row r="52" spans="1:2" x14ac:dyDescent="0.35">
      <c r="A52" t="s">
        <v>80</v>
      </c>
      <c r="B52" s="5">
        <v>0.26400000000000001</v>
      </c>
    </row>
    <row r="53" spans="1:2" x14ac:dyDescent="0.35">
      <c r="A53" t="s">
        <v>84</v>
      </c>
      <c r="B53" s="14">
        <v>-2</v>
      </c>
    </row>
    <row r="54" spans="1:2" x14ac:dyDescent="0.35">
      <c r="A54" t="s">
        <v>85</v>
      </c>
      <c r="B54" s="5">
        <v>1492</v>
      </c>
    </row>
  </sheetData>
  <dataValidations count="44">
    <dataValidation allowBlank="1" showInputMessage="1" showErrorMessage="1" promptTitle="Columns from colC" prompt="The number of columns in the ATP Test Spec Table counting from cell(C3)" sqref="A1" xr:uid="{E77D961A-F5B9-4E62-B818-8D1DE73ED2E4}"/>
    <dataValidation allowBlank="1" showInputMessage="1" showErrorMessage="1" prompt="The number of rows in the ATP Test Spec Table counting from cell(C3)_x000a_NOTE the addition of first EMPTY and the last FULL rows used in the testware math alogrithms." sqref="C1" xr:uid="{A9F04409-2478-4F1F-8A54-66456176FF29}"/>
    <dataValidation allowBlank="1" showInputMessage="1" showErrorMessage="1" promptTitle="Relative Root Name" prompt="Used by the test ware to calculate the relative path_x000a_DO NOT CHANGE!" sqref="A3" xr:uid="{CAD3A15D-CE15-40DF-ADAB-17DA202BF5C2}"/>
    <dataValidation allowBlank="1" showInputMessage="1" showErrorMessage="1" promptTitle="Test Type" prompt="The ID to link this specific test and testware used to the product type and included in the naming of the test report." sqref="A4" xr:uid="{27224241-12AC-43B1-8328-855D3D994F2A}"/>
    <dataValidation allowBlank="1" showInputMessage="1" showErrorMessage="1" promptTitle="Step levels" prompt="The number of levels were the DUT is evaluated ie the Rows from row3 -2" sqref="A5" xr:uid="{DBDCB11C-F771-450A-8AD8-2B8E1704CCC7}"/>
    <dataValidation allowBlank="1" showInputMessage="1" showErrorMessage="1" promptTitle="Resistor Tolerence" prompt="The tolerance applied to the resistor measurment in simulate mode.  ie 0.01 = 1%" sqref="A6" xr:uid="{65769EB1-E656-4766-AA64-DBFC73D64D10}"/>
    <dataValidation allowBlank="1" showInputMessage="1" showErrorMessage="1" promptTitle="Sample Rate" prompt="The main test loop rate at which raw data is recorded in seconds ie 0.05 is 50ms. " sqref="A7" xr:uid="{26F70599-300C-4C57-BE4F-C8D14B12B021}"/>
    <dataValidation allowBlank="1" showInputMessage="1" showErrorMessage="1" promptTitle="Resistor " prompt="The size of the resistor step in ohms used in simulate mode." sqref="A8" xr:uid="{9EB5EB04-1005-4EEE-B229-29D9FFDCC074}"/>
    <dataValidation allowBlank="1" showInputMessage="1" showErrorMessage="1" promptTitle="Wait Time" prompt="Time in seconds to wait in pump STOP state before taking a measurement.  AKA Settling time." sqref="A9" xr:uid="{46DFC1DC-56FB-4A32-9659-B65E2AC37BA6}"/>
    <dataValidation allowBlank="1" showInputMessage="1" showErrorMessage="1" promptTitle="Sim Fill Rate" prompt="The number of ticks per update that generates the 100% full speed rate of the pump in simulate mode.  Larger number is faster rate." sqref="A10" xr:uid="{9FF4643C-57BF-458D-AD52-E042CD7E6824}"/>
    <dataValidation allowBlank="1" showInputMessage="1" showErrorMessage="1" promptTitle="Empty Level" prompt="Defines the distance in inches from the measurement datum to the tank EMPTY measurement." sqref="A11" xr:uid="{5B722552-D049-43C7-A34F-3210FADFB7FC}"/>
    <dataValidation allowBlank="1" showInputMessage="1" showErrorMessage="1" promptTitle="Full Level" prompt="Defines the distance in inches from the measurement datum to the tank FULL measurement." sqref="A12:A17" xr:uid="{863F53C1-537B-4DF5-8A4C-25F141CFD36F}"/>
    <dataValidation allowBlank="1" showInputMessage="1" showErrorMessage="1" promptTitle="RNG_Slow" prompt="The distance in inches from the current level measurement to the current level set point when the Pump switched to SPD_Slow. " sqref="A18" xr:uid="{D663F4EA-F341-473C-A1B5-4CBF31695518}"/>
    <dataValidation allowBlank="1" showInputMessage="1" showErrorMessage="1" promptTitle="RNG_Creep" prompt="The distance in inches from the current level measurement to the current level set point when the Pump switched to SPD_Creep. " sqref="A19" xr:uid="{66D1C752-D516-40EB-B1A4-80EAE30C6C92}"/>
    <dataValidation allowBlank="1" showInputMessage="1" showErrorMessage="1" promptTitle="RNG_Stop" prompt="The distance in inches from the current level measurement to the current level set point when the Pump switched to SPD_Stop. " sqref="A20" xr:uid="{6C665857-9DF6-45B2-950A-34ECEF5A853C}"/>
    <dataValidation allowBlank="1" showInputMessage="1" showErrorMessage="1" promptTitle="Laser Slope" prompt="Calibration factor use to scale the span of Laser output to tank levels in inches." sqref="A13" xr:uid="{C337D6BF-28F1-48F4-8DC4-808E9BF124FB}"/>
    <dataValidation allowBlank="1" showInputMessage="1" showErrorMessage="1" promptTitle="Laser_Offset" prompt="Calibration factor use to scale the Y intercept of Laser output to tank levels in inches." sqref="A14" xr:uid="{BF027CA4-B162-482E-B75A-FB9195849DC0}"/>
    <dataValidation allowBlank="1" showInputMessage="1" showErrorMessage="1" promptTitle="Level Cal Technician" prompt="Name of the operator recorded on the level calibration currently being used. " sqref="A15" xr:uid="{FD5BAEA4-BFAC-48A2-AF4A-9C52DAA30EB9}"/>
    <dataValidation allowBlank="1" showInputMessage="1" showErrorMessage="1" promptTitle="Level Cal Date" prompt="Date recorded of the level calibration currently being used. " sqref="A16:A17" xr:uid="{BFA2A9D2-7F20-4C8A-AF1C-1431FBE8302C}"/>
    <dataValidation allowBlank="1" showInputMessage="1" showErrorMessage="1" promptTitle="Pump Visa Name" prompt="The Windows name of the COMPORT assigned in Device Manager to Poulolo motor/pump controller module." sqref="A17" xr:uid="{1CF70B60-91AE-4A56-AAB0-42B8BA3B0BF6}"/>
    <dataValidation allowBlank="1" showInputMessage="1" showErrorMessage="1" promptTitle="WAIT_In_Idle" prompt="The time the pump is in IDLE mode at SPD_Stop mode before transitioning to STOP State.  This defines a controller alogrithm dead time to allow the tank to settle in order to minimize the controller hunting.  This is in addtion to WAIT TIme." sqref="A24" xr:uid="{CD520055-661C-4F47-ABBD-5FC368431746}"/>
    <dataValidation allowBlank="1" showInputMessage="1" showErrorMessage="1" promptTitle="SPD_Fast" prompt="The maximum pump speed is set by the pump parameter and the applied power supply.  This is the percent of the max pump speed applied by the motor controller when level &gt; than RNG_xxx ie 100= 100% of max speed" sqref="A21" xr:uid="{EB73A200-AEF2-49F2-A82D-4D7A19DF57EB}"/>
    <dataValidation allowBlank="1" showInputMessage="1" showErrorMessage="1" promptTitle="SPD_Slow" prompt="The maximum pump speed is set by the pump parameter and the applied power supply.  This is the percent of the max pump speed applied by the motor controller when level &lt; than RNG_Slow 30= 30% of max speed" sqref="A22" xr:uid="{7AB3F7C2-CECF-4C50-B47F-A02BE5C712AC}"/>
    <dataValidation allowBlank="1" showInputMessage="1" showErrorMessage="1" promptTitle="SPD_Creep" prompt="The maximum pump speed is set by the pump parameter and the applied power supply.  This is the percent of the max pump speed applied by the motor controller when level &lt; than RNG_Creep 7= 7% of max speed" sqref="A23:A24" xr:uid="{F76E6126-3422-4C4B-80FE-FD845DB2EBDA}"/>
    <dataValidation allowBlank="1" showInputMessage="1" showErrorMessage="1" promptTitle="Calibration File" prompt="This is the named of the Excel workbook containing the calibration data for this test." sqref="A46" xr:uid="{040103DC-4316-4EEE-A61C-05546759E348}"/>
    <dataValidation allowBlank="1" showInputMessage="1" showErrorMessage="1" promptTitle="DataQ Runtime Visa Name" prompt="The Windows name of the COMPORT assigned in Device Manager to DatQ acquisition module module." sqref="A25" xr:uid="{1364CA5A-1FFE-4AC3-81AD-7BDCF6AC54F7}"/>
    <dataValidation allowBlank="1" showInputMessage="1" showErrorMessage="1" promptTitle="Num of Channels" prompt="The number of DataQ Analog Input channels used by this testware." sqref="A26" xr:uid="{66CB1AFB-AB30-40AD-B64E-8BCABCBA47AE}"/>
    <dataValidation allowBlank="1" showInputMessage="1" showErrorMessage="1" promptTitle="AI0_Slope" prompt="Calibration factor use to scale the span of  DataQ channel 0 Analog Input to Resistance in ohms using the current source method." sqref="A27" xr:uid="{158EF2BF-1640-4E59-B1A7-34DA954508C5}"/>
    <dataValidation allowBlank="1" showInputMessage="1" showErrorMessage="1" promptTitle="AI1_Slope" prompt="Calibration factor use to scale the span of  DataQ channel 0 Analog Input to Resistance in ohms using the current source method." sqref="A29" xr:uid="{140DECDB-EF94-4973-8E92-D60E78F92BED}"/>
    <dataValidation allowBlank="1" showInputMessage="1" showErrorMessage="1" promptTitle="AI0_Offset" prompt="Calibration factor use to scale the Y-intercept of  DataQ channel 0 Analog Input to Resistance in ohms using the current source method." sqref="A28" xr:uid="{113AA315-35EB-49D5-8FE9-5FC9841F978C}"/>
    <dataValidation allowBlank="1" showInputMessage="1" showErrorMessage="1" promptTitle="AI1_Offset" prompt="Calibration factor use to scale the Y-intercept of  DataQ channel 0 Analog Input to Resistance in ohms using the current source method." sqref="A30" xr:uid="{6EDE19A5-D7BE-4E7A-A61A-CCD327AF6C87}"/>
    <dataValidation allowBlank="1" showInputMessage="1" showErrorMessage="1" promptTitle="Out Scale" prompt="Sets the scaling/calibration used for the DataQ_x000a_0 Voltage -- Raw voltage_x000a_1 Resist Devider -- Resistance using Divider method_x000a_2 Resist I-source -- Resistance using current source method (DEFAULT)" sqref="A43" xr:uid="{582AA184-13E2-4749-978A-D981E2E0AF63}"/>
    <dataValidation allowBlank="1" showInputMessage="1" showErrorMessage="1" promptTitle="Dataq Cal Technician" prompt="Name of the operator recorded on the resistance calibration currently being used. " sqref="A44" xr:uid="{5B0420A7-8534-4190-AEB6-71F98F27A6CD}"/>
    <dataValidation allowBlank="1" showInputMessage="1" showErrorMessage="1" promptTitle="Dataq Cal Date" prompt="Date recorded on the resistance calibration currently being used. " sqref="A45:A46" xr:uid="{8EAFDC54-8CE6-413C-87D6-93C20933AFFD}"/>
    <dataValidation allowBlank="1" showInputMessage="1" showErrorMessage="1" promptTitle="Report Template File" prompt="Name of the Excel workbook used to generate the report for this test." sqref="A47" xr:uid="{5A10272D-D7B9-48AF-BE6B-527FAD1F836E}"/>
    <dataValidation allowBlank="1" showInputMessage="1" showErrorMessage="1" promptTitle="Use Default Calibration?" prompt="if TRUE use the calibrations contained in this file_x000a_else use the calibration contained in the Windows Registry." sqref="A48" xr:uid="{4570C95C-9A20-48B3-8D2A-990255851D83}"/>
    <dataValidation allowBlank="1" showInputMessage="1" showErrorMessage="1" promptTitle="LabVIEW version" prompt="The version of MLOI testware software that should be run with this test in runtime ONLY. _x000a__x000a_ Does not apply to MLOI run from the development system." sqref="A50" xr:uid="{E90FCB0D-9D3C-47FE-B918-755ED7C43AAC}"/>
    <dataValidation allowBlank="1" showInputMessage="1" showErrorMessage="1" promptTitle="ATP Test Spec" prompt="Table of parameters from the ATP Test Document that is the source of the test criteria. _x000a_NOTE that the Table contains extra first row (EMPTY) and last row (FULL) for use by the math alogrithms." sqref="A2" xr:uid="{6DBC8B11-BA39-460B-A6DD-40C23817BA82}"/>
    <dataValidation type="list" allowBlank="1" showInputMessage="1" showErrorMessage="1" sqref="B43" xr:uid="{248E371E-4F60-42E9-8ACD-1077B33D27F3}">
      <formula1>$E$44:$E$46</formula1>
    </dataValidation>
    <dataValidation allowBlank="1" showInputMessage="1" showErrorMessage="1" promptTitle="TP Target Margin" prompt="Value of the Set Point margin allowance to ensure the actual oil level does not exceed the ATP spec level for the current Test Point.  _x000a_" sqref="A49" xr:uid="{6371477A-A667-433B-99C4-E71CAF33165F}"/>
    <dataValidation allowBlank="1" showInputMessage="1" showErrorMessage="1" promptTitle="SPD_Fast_PrePot" prompt="The percent of Full spped for the pump motor  fastest running speed when in the PrePot Mode.." sqref="A51" xr:uid="{E3CB3D05-1317-4FFE-9E2E-79CFD5DC4E33}"/>
    <dataValidation allowBlank="1" showInputMessage="1" showErrorMessage="1" promptTitle="Target Float Offset" prompt="The correction value (in inches) added to the laser measurement to compensate for the height the top of the  target float is above the actual oil level." sqref="A52" xr:uid="{51472F06-FB47-4F11-936F-657C700DE29B}"/>
    <dataValidation allowBlank="1" showInputMessage="1" showErrorMessage="1" promptTitle="Level Zero Datum" prompt="This is the reference datum of the top of the gage block used to calculate the zero correction added to the level calibration offset.  The Level Zero Datum minus the uncorrected but calibrated level signal is the new Level Zero correcction. " sqref="A53" xr:uid="{1193A09E-61E7-4357-9519-DB4CC3DFB120}"/>
    <dataValidation allowBlank="1" showInputMessage="1" showErrorMessage="1" promptTitle="Maintenance_Code" prompt="Unlocks the Initialize state of the Maintenance menu option enables the Test Engineer to initialize the system. " sqref="A54" xr:uid="{A503DF81-3C40-4B67-BDF7-B90FE1E1E283}"/>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Revision</vt:lpstr>
      <vt:lpstr>8005571-05 Elevate OLS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rick ales</cp:lastModifiedBy>
  <dcterms:created xsi:type="dcterms:W3CDTF">2025-09-21T16:25:21Z</dcterms:created>
  <dcterms:modified xsi:type="dcterms:W3CDTF">2026-09-24T16:26:30Z</dcterms:modified>
</cp:coreProperties>
</file>